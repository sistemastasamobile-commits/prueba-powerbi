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Histórico Ventas" sheetId="2" state="visible" r:id="rId4"/>
    <sheet name="Forecast Demanda" sheetId="3" state="visible" r:id="rId5"/>
    <sheet name="Análi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<sst xmlns="http://schemas.openxmlformats.org/spreadsheetml/2006/main" count="224" uniqueCount="153">
  <si>
    <t xml:space="preserve">PRUEBA DE EXCEL — PLANIFICADOR DE LA DEMANDA</t>
  </si>
  <si>
    <t xml:space="preserve">Nivel Intermedio · Tiempo máximo: 60 minutos</t>
  </si>
  <si>
    <t xml:space="preserve">INSTRUCCIONES GENERALES</t>
  </si>
  <si>
    <t xml:space="preserve">1.</t>
  </si>
  <si>
    <t xml:space="preserve">Esta prueba evalúa competencias en Excel aplicadas al rol de Planificador de la Demanda.</t>
  </si>
  <si>
    <t xml:space="preserve">2.</t>
  </si>
  <si>
    <t xml:space="preserve">El archivo contiene 4 hojas de trabajo. Debes completar las celdas marcadas en AMARILLO.</t>
  </si>
  <si>
    <t xml:space="preserve">3.</t>
  </si>
  <si>
    <t xml:space="preserve">No modifiques encabezados, estructuras ni celdas que no estén marcadas.</t>
  </si>
  <si>
    <t xml:space="preserve">4.</t>
  </si>
  <si>
    <t xml:space="preserve">Puedes usar cualquier función de Excel. Se valorará el uso de fórmulas sobre resultados manuales.</t>
  </si>
  <si>
    <t xml:space="preserve">5.</t>
  </si>
  <si>
    <t xml:space="preserve">Al finalizar, guarda el archivo con tu nombre: Prueba_Excel_TuNombre.xlsx</t>
  </si>
  <si>
    <t xml:space="preserve">ESTRUCTURA DE LA PRUEBA</t>
  </si>
  <si>
    <t xml:space="preserve">Hoja 1:</t>
  </si>
  <si>
    <t xml:space="preserve">Instrucciones (esta hoja)</t>
  </si>
  <si>
    <t xml:space="preserve">Hoja 2:</t>
  </si>
  <si>
    <t xml:space="preserve">Histórico de Ventas — Análisis y limpieza de datos de ventas por SKU (25 pts)</t>
  </si>
  <si>
    <t xml:space="preserve">Hoja 3:</t>
  </si>
  <si>
    <t xml:space="preserve">Forecast — Proyección de demanda usando métodos estadísticos (35 pts)</t>
  </si>
  <si>
    <t xml:space="preserve">Hoja 4:</t>
  </si>
  <si>
    <t xml:space="preserve">Análisis — Preguntas teóricas y análisis de resultados (20 pts)</t>
  </si>
  <si>
    <t xml:space="preserve">PUNTAJE</t>
  </si>
  <si>
    <t xml:space="preserve">Total:</t>
  </si>
  <si>
    <t xml:space="preserve">80 puntos (+ hasta 10 bonus por calidad de análisis)</t>
  </si>
  <si>
    <t xml:space="preserve">Aprobado:</t>
  </si>
  <si>
    <t xml:space="preserve">≥ 60 puntos (75%)</t>
  </si>
  <si>
    <t xml:space="preserve">Distinción:</t>
  </si>
  <si>
    <t xml:space="preserve">≥ 68 puntos (85%)</t>
  </si>
  <si>
    <t xml:space="preserve">CRITERIOS DE EVALUACIÓN</t>
  </si>
  <si>
    <t xml:space="preserve">✓</t>
  </si>
  <si>
    <t xml:space="preserve">Uso correcto de fórmulas Excel (no valores pegados)</t>
  </si>
  <si>
    <t xml:space="preserve">Precisión de los cálculos</t>
  </si>
  <si>
    <t xml:space="preserve">Lógica de planificación aplicada</t>
  </si>
  <si>
    <t xml:space="preserve">Organización y presentación</t>
  </si>
  <si>
    <t xml:space="preserve">HISTÓRICO DE VENTAS — ANÁLISIS Y LIMPIEZA DE DATOS  (25 pts)</t>
  </si>
  <si>
    <t xml:space="preserve">↓  Completa las celdas en AMARILLO. Usa fórmulas, no valores manuales.</t>
  </si>
  <si>
    <t xml:space="preserve">PARTE A — ANÁLISIS ESTADÍSTICO (completa las celdas amarillas)</t>
  </si>
  <si>
    <t xml:space="preserve">SKU</t>
  </si>
  <si>
    <t xml:space="preserve">Producto</t>
  </si>
  <si>
    <t xml:space="preserve">Categoría</t>
  </si>
  <si>
    <t xml:space="preserve">Precio Unit. (COP)</t>
  </si>
  <si>
    <t xml:space="preserve">Ene-24</t>
  </si>
  <si>
    <t xml:space="preserve">Feb-24</t>
  </si>
  <si>
    <t xml:space="preserve">Mar-24</t>
  </si>
  <si>
    <t xml:space="preserve">Abr-24</t>
  </si>
  <si>
    <t xml:space="preserve">May-24</t>
  </si>
  <si>
    <t xml:space="preserve">Jun-24</t>
  </si>
  <si>
    <t xml:space="preserve">Jul-24</t>
  </si>
  <si>
    <t xml:space="preserve">Ago-24</t>
  </si>
  <si>
    <t xml:space="preserve">Sep-24</t>
  </si>
  <si>
    <t xml:space="preserve">Oct-24</t>
  </si>
  <si>
    <t xml:space="preserve">Nov-24</t>
  </si>
  <si>
    <t xml:space="preserve">Dic-24</t>
  </si>
  <si>
    <t xml:space="preserve">Ene-25</t>
  </si>
  <si>
    <t xml:space="preserve">Feb-25</t>
  </si>
  <si>
    <t xml:space="preserve">Mar-25</t>
  </si>
  <si>
    <t xml:space="preserve">Abr-25</t>
  </si>
  <si>
    <t xml:space="preserve">May-25</t>
  </si>
  <si>
    <t xml:space="preserve">Jun-25</t>
  </si>
  <si>
    <t xml:space="preserve">Total Ventas
18 meses</t>
  </si>
  <si>
    <t xml:space="preserve">Promedio
Mensual</t>
  </si>
  <si>
    <t xml:space="preserve">Máximo
Mes</t>
  </si>
  <si>
    <t xml:space="preserve">Mínimo
Mes*</t>
  </si>
  <si>
    <t xml:space="preserve">Meses con
Datos Válidos</t>
  </si>
  <si>
    <t xml:space="preserve">% Crecim.
Ene24→Jun25</t>
  </si>
  <si>
    <t xml:space="preserve">Ventas
Sin Outliers</t>
  </si>
  <si>
    <t xml:space="preserve">FIL-001</t>
  </si>
  <si>
    <t xml:space="preserve">Filtro de Aceite Premium</t>
  </si>
  <si>
    <t xml:space="preserve">Filtros</t>
  </si>
  <si>
    <t xml:space="preserve">FRE-042</t>
  </si>
  <si>
    <t xml:space="preserve">Pastillas de Freno Delanteras</t>
  </si>
  <si>
    <t xml:space="preserve">Frenos</t>
  </si>
  <si>
    <t xml:space="preserve">BAT-007</t>
  </si>
  <si>
    <t xml:space="preserve">Batería 60Ah</t>
  </si>
  <si>
    <t xml:space="preserve">Eléctrico</t>
  </si>
  <si>
    <t xml:space="preserve">ACE-015</t>
  </si>
  <si>
    <t xml:space="preserve">Aceite Motor 10W40 x4L</t>
  </si>
  <si>
    <t xml:space="preserve">Lubricantes</t>
  </si>
  <si>
    <t xml:space="preserve">COR-028</t>
  </si>
  <si>
    <t xml:space="preserve">Correa de Distribución</t>
  </si>
  <si>
    <t xml:space="preserve">Motor</t>
  </si>
  <si>
    <t xml:space="preserve">AMO-063</t>
  </si>
  <si>
    <t xml:space="preserve">Amortiguador Delantero</t>
  </si>
  <si>
    <t xml:space="preserve">Suspensión</t>
  </si>
  <si>
    <t xml:space="preserve">* PARTE B — CALIDAD DE DATOS (5 pts): Identifica los 4 errores en los datos históricos (celdas en rojo). En la celda B14 describe cada error y cómo lo corregirías.</t>
  </si>
  <si>
    <t xml:space="preserve">Escribe aquí tu análisis de calidad de datos:</t>
  </si>
  <si>
    <t xml:space="preserve">FORECAST DE DEMANDA — PROYECCIÓN H2 2025  (35 pts)</t>
  </si>
  <si>
    <t xml:space="preserve">↓  Usa las ventas históricas para proyectar Jul-25 a Dic-25. Completa las celdas en AMARILLO.</t>
  </si>
  <si>
    <t xml:space="preserve">MÉTODO 1 — PROMEDIO MÓVIL SIMPLE (últimos 3 meses)  [10 pts]</t>
  </si>
  <si>
    <t xml:space="preserve">Precio Unit.</t>
  </si>
  <si>
    <t xml:space="preserve">Jul-25</t>
  </si>
  <si>
    <t xml:space="preserve">Ago-25</t>
  </si>
  <si>
    <t xml:space="preserve">Sep-25</t>
  </si>
  <si>
    <t xml:space="preserve">Oct-25</t>
  </si>
  <si>
    <t xml:space="preserve">Nov-25</t>
  </si>
  <si>
    <t xml:space="preserve">Dic-25</t>
  </si>
  <si>
    <t xml:space="preserve">Instrucción: Calcula el Promedio Móvil Simple de los últimos 3 meses disponibles para proyectar cada mes. Jul-25 = PROMEDIO(Abr-25, May-25, Jun-25). Para meses siguientes usa los proyectados anteriores.</t>
  </si>
  <si>
    <t xml:space="preserve">MÉTODO 2 — SUAVIZACIÓN EXPONENCIAL SIMPLE (α = 0.3)  [10 pts]</t>
  </si>
  <si>
    <t xml:space="preserve">Alpha (α):</t>
  </si>
  <si>
    <t xml:space="preserve">← Puedes ajustar este valor para optimizar el forecast</t>
  </si>
  <si>
    <t xml:space="preserve">Fórmula SES: Ft = α × At-1 + (1-α) × Ft-1   donde Ft = Forecast período t, At-1 = Venta real período anterior, Ft-1 = Forecast período anterior. Para el primer período proyectado, usa el último dato real como Ft-1.</t>
  </si>
  <si>
    <t xml:space="preserve">MÉTODO 3 — AJUSTE ESTACIONAL (índices de estacionalidad 2024)  [15 pts]</t>
  </si>
  <si>
    <t xml:space="preserve">Mes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</si>
  <si>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</si>
  <si>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</si>
  <si>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</si>
  <si>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</si>
  <si>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</si>
  <si>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</si>
  <si>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</si>
  <si>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</si>
  <si>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</si>
  <si>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</si>
  <si>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</si>
  <si>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</si>
  <si>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Índice Est.</t>
  </si>
  <si>
    <t xml:space="preserve">Aplica los índices estacionales al PMS calculado en Método 1 para obtener el Forecast Ajustado:</t>
  </si>
  <si>
    <t xml:space="preserve">PMS
Jul-25</t>
  </si>
  <si>
    <t xml:space="preserve">PMS
Ago-25</t>
  </si>
  <si>
    <t xml:space="preserve">PMS
Sep-25</t>
  </si>
  <si>
    <t xml:space="preserve">PMS
Oct-25</t>
  </si>
  <si>
    <t xml:space="preserve">PMS
Nov-25</t>
  </si>
  <si>
    <t xml:space="preserve">PMS
Dic-25</t>
  </si>
  <si>
    <t xml:space="preserve">Ajust.
Jul-25</t>
  </si>
  <si>
    <t xml:space="preserve">Ajust.
Ago-25</t>
  </si>
  <si>
    <t xml:space="preserve">Ajust.
Sep-25</t>
  </si>
  <si>
    <t xml:space="preserve">Ajust.
Oct-25</t>
  </si>
  <si>
    <t xml:space="preserve">Ajust.
Nov-25</t>
  </si>
  <si>
    <t xml:space="preserve">Ajust.
Dic-25</t>
  </si>
  <si>
    <t xml:space="preserve">Instrucción: Forecast Ajustado = PMS × Índice Estacional del mes correspondiente. Ejemplo Jul-25: =PMS_Jul25 × 0.81</t>
  </si>
  <si>
    <t xml:space="preserve">ANÁLISIS Y PREGUNTAS TEÓRICAS — PLANIFICADOR DE LA DEMANDA  (20 pts)</t>
  </si>
  <si>
    <t xml:space="preserve">PARTE A — ANÁLISIS DE RESULTADOS (10 pts)</t>
  </si>
  <si>
    <t xml:space="preserve">A1.</t>
  </si>
  <si>
    <t xml:space="preserve">Con base en los 3 métodos de forecast calculados, ¿cuál recomendarías para los productos de la categoría 'Eléctrico' (BAT-007)? Justifica tu respuesta considerando la estacionalidad y el comportamiento de la demanda.</t>
  </si>
  <si>
    <t xml:space="preserve">Escribe tu respuesta aquí:</t>
  </si>
  <si>
    <t xml:space="preserve">A2.</t>
  </si>
  <si>
    <t xml:space="preserve">El SKU FRE-042 (Pastillas de Freno) mostró un outlier en Mar-25. ¿Cómo trataría ese dato para el forecast? ¿Qué impacto tiene dejarlo vs. corregirlo?</t>
  </si>
  <si>
    <t xml:space="preserve">A3.</t>
  </si>
  <si>
    <t xml:space="preserve">Si el área comercial te informa que habrá una promoción especial de ACE-015 en Oct-25 con un incremento esperado del 30% en ventas, ¿cómo ajustas tu forecast? Describe el proceso.</t>
  </si>
  <si>
    <t xml:space="preserve">PARTE B — PREGUNTAS TEÓRICAS (10 pts)</t>
  </si>
  <si>
    <t xml:space="preserve">B1.</t>
  </si>
  <si>
    <t xml:space="preserve">Explica la diferencia entre demanda dependiente e independiente y da un ejemplo de cada una en una empresa automotriz.</t>
  </si>
  <si>
    <t xml:space="preserve">B2.</t>
  </si>
  <si>
    <t xml:space="preserve">¿Qué es el MAD (Mean Absolute Deviation) y cómo se usa para evaluar la precisión de un forecast? Escribe la fórmula.</t>
  </si>
  <si>
    <t xml:space="preserve">B3.</t>
  </si>
  <si>
    <t xml:space="preserve">Describe al menos 3 factores externos que pueden afectar la demanda de repuestos automotrices en Colombia y cómo los incorporarías en tu planificación.</t>
  </si>
  <si>
    <t xml:space="preserve">B4.</t>
  </si>
  <si>
    <t xml:space="preserve">¿Qué es el stock de seguridad? ¿Cómo lo calcularías para un producto con alta variabilidad de demanda? Escribe la fórmula.</t>
  </si>
  <si>
    <t xml:space="preserve">B5.</t>
  </si>
  <si>
    <t xml:space="preserve">Un producto tiene un Lead Time de 15 días y una demanda promedio de 50 unidades/día con desviación estándar de 8 unidades. Calcula el punto de reorden (ROP) con un nivel de servicio del 95% (Z=1.65).</t>
  </si>
  <si>
    <t xml:space="preserve">BONUS (hasta 10 pts adicionales)</t>
  </si>
  <si>
    <t xml:space="preserve">BONUS: Usando los datos del Histórico, construye en esta misma hoja una tabla dinámica o resumen que muestre las ventas por Categoría por semestre (H1 2024, H2 2024, H1 2025) e identifica cuál categoría tuvo el mayor crecimiento. Puedes usar SUMIFS, tablas dinámicas o cualquier técnica que consideres adecuada.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</si>
</sst>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0.0"/>
    <numFmt numFmtId="168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0070C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1F1F"/>
      </patternFill>
    </fill>
    <fill>
      <patternFill patternType="solid">
        <fgColor rgb="FFEBF0FA"/>
        <bgColor rgb="FFF2F7FF"/>
      </patternFill>
    </fill>
    <fill>
      <patternFill patternType="solid">
        <fgColor rgb="FFFFF2CC"/>
        <bgColor rgb="FFFFE0E0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F2F7FF"/>
        <bgColor rgb="FFEBF0FA"/>
      </patternFill>
    </fill>
    <fill>
      <patternFill patternType="solid">
        <fgColor rgb="FFFFE0E0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7FF"/>
      </patternFill>
    </fill>
    <fill>
      <patternFill patternType="solid">
        <fgColor rgb="FF375623"/>
        <bgColor rgb="FF55555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2E75B6"/>
      <rgbColor rgb="FFCCCCCC"/>
      <rgbColor rgb="FF808080"/>
      <rgbColor rgb="FF9999FF"/>
      <rgbColor rgb="FF993366"/>
      <rgbColor rgb="FFFFF2CC"/>
      <rgbColor rgb="FFEBF0FA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F"/>
      <rgbColor rgb="FFCCFFCC"/>
      <rgbColor rgb="FFFFFF99"/>
      <rgbColor rgb="FF99CCFF"/>
      <rgbColor rgb="FFFF99CC"/>
      <rgbColor rgb="FFCC99FF"/>
      <rgbColor rgb="FFFFE0E0"/>
      <rgbColor rgb="FF4472C4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75623"/>
      <rgbColor rgb="FF993300"/>
      <rgbColor rgb="FF993366"/>
      <rgbColor rgb="FF555555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0"/>
    <col collapsed="false" customWidth="true" hidden="false" outlineLevel="0" max="3" min="3" style="0" width="20"/>
  </cols>
  <sheetData>
    <row r="2" customFormat="false" ht="19.7" hidden="false" customHeight="tru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4" customFormat="false" ht="3.75" hidden="false" customHeight="true" outlineLevel="0" collapsed="false">
      <c r="B4" s="3"/>
      <c r="C4" s="3"/>
    </row>
    <row r="5" customFormat="false" ht="7.5" hidden="false" customHeight="true" outlineLevel="0" collapsed="false"/>
    <row r="6" customFormat="false" ht="15" hidden="false" customHeight="true" outlineLevel="0" collapsed="false">
      <c r="B6" s="4" t="s">
        <v>2</v>
      </c>
      <c r="C6" s="4"/>
    </row>
    <row r="7" customFormat="false" ht="7.5" hidden="false" customHeight="true" outlineLevel="0" collapsed="false"/>
    <row r="8" customFormat="false" ht="57.45" hidden="false" customHeight="false" outlineLevel="0" collapsed="false">
      <c r="B8" s="5" t="s">
        <v>3</v>
      </c>
      <c r="C8" s="6" t="s">
        <v>4</v>
      </c>
    </row>
    <row r="9" customFormat="false" ht="57.45" hidden="false" customHeight="false" outlineLevel="0" collapsed="false">
      <c r="B9" s="5" t="s">
        <v>5</v>
      </c>
      <c r="C9" s="6" t="s">
        <v>6</v>
      </c>
    </row>
    <row r="10" customFormat="false" ht="46.25" hidden="false" customHeight="false" outlineLevel="0" collapsed="false">
      <c r="B10" s="5" t="s">
        <v>7</v>
      </c>
      <c r="C10" s="6" t="s">
        <v>8</v>
      </c>
    </row>
    <row r="11" customFormat="false" ht="57.45" hidden="false" customHeight="false" outlineLevel="0" collapsed="false">
      <c r="B11" s="5" t="s">
        <v>9</v>
      </c>
      <c r="C11" s="6" t="s">
        <v>10</v>
      </c>
    </row>
    <row r="12" customFormat="false" ht="46.25" hidden="false" customHeight="false" outlineLevel="0" collapsed="false">
      <c r="B12" s="5" t="s">
        <v>11</v>
      </c>
      <c r="C12" s="6" t="s">
        <v>12</v>
      </c>
    </row>
    <row r="13" customFormat="false" ht="7.5" hidden="false" customHeight="true" outlineLevel="0" collapsed="false"/>
    <row r="14" customFormat="false" ht="15" hidden="false" customHeight="true" outlineLevel="0" collapsed="false">
      <c r="B14" s="4" t="s">
        <v>13</v>
      </c>
      <c r="C14" s="4"/>
    </row>
    <row r="15" customFormat="false" ht="7.5" hidden="false" customHeight="true" outlineLevel="0" collapsed="false"/>
    <row r="16" customFormat="false" ht="23.85" hidden="false" customHeight="false" outlineLevel="0" collapsed="false">
      <c r="B16" s="5" t="s">
        <v>14</v>
      </c>
      <c r="C16" s="6" t="s">
        <v>15</v>
      </c>
    </row>
    <row r="17" customFormat="false" ht="46.25" hidden="false" customHeight="false" outlineLevel="0" collapsed="false">
      <c r="B17" s="5" t="s">
        <v>16</v>
      </c>
      <c r="C17" s="6" t="s">
        <v>17</v>
      </c>
    </row>
    <row r="18" customFormat="false" ht="46.25" hidden="false" customHeight="false" outlineLevel="0" collapsed="false">
      <c r="B18" s="5" t="s">
        <v>18</v>
      </c>
      <c r="C18" s="6" t="s">
        <v>19</v>
      </c>
    </row>
    <row r="19" customFormat="false" ht="35.05" hidden="false" customHeight="false" outlineLevel="0" collapsed="false">
      <c r="B19" s="5" t="s">
        <v>20</v>
      </c>
      <c r="C19" s="6" t="s">
        <v>21</v>
      </c>
    </row>
    <row r="20" customFormat="false" ht="7.5" hidden="false" customHeight="true" outlineLevel="0" collapsed="false"/>
    <row r="21" customFormat="false" ht="15" hidden="false" customHeight="true" outlineLevel="0" collapsed="false">
      <c r="B21" s="4" t="s">
        <v>22</v>
      </c>
      <c r="C21" s="4"/>
    </row>
    <row r="22" customFormat="false" ht="7.5" hidden="false" customHeight="true" outlineLevel="0" collapsed="false"/>
    <row r="23" customFormat="false" ht="35.05" hidden="false" customHeight="false" outlineLevel="0" collapsed="false">
      <c r="B23" s="5" t="s">
        <v>23</v>
      </c>
      <c r="C23" s="6" t="s">
        <v>24</v>
      </c>
    </row>
    <row r="24" customFormat="false" ht="15" hidden="false" customHeight="false" outlineLevel="0" collapsed="false">
      <c r="B24" s="5" t="s">
        <v>25</v>
      </c>
      <c r="C24" s="6" t="s">
        <v>26</v>
      </c>
    </row>
    <row r="25" customFormat="false" ht="15" hidden="false" customHeight="false" outlineLevel="0" collapsed="false">
      <c r="B25" s="5" t="s">
        <v>27</v>
      </c>
      <c r="C25" s="6" t="s">
        <v>28</v>
      </c>
    </row>
    <row r="26" customFormat="false" ht="7.5" hidden="false" customHeight="true" outlineLevel="0" collapsed="false"/>
    <row r="27" customFormat="false" ht="15" hidden="false" customHeight="true" outlineLevel="0" collapsed="false">
      <c r="B27" s="4" t="s">
        <v>29</v>
      </c>
      <c r="C27" s="4"/>
    </row>
    <row r="28" customFormat="false" ht="7.5" hidden="false" customHeight="true" outlineLevel="0" collapsed="false"/>
    <row r="29" customFormat="false" ht="35.05" hidden="false" customHeight="false" outlineLevel="0" collapsed="false">
      <c r="B29" s="5" t="s">
        <v>30</v>
      </c>
      <c r="C29" s="6" t="s">
        <v>31</v>
      </c>
    </row>
    <row r="30" customFormat="false" ht="23.85" hidden="false" customHeight="false" outlineLevel="0" collapsed="false">
      <c r="B30" s="5" t="s">
        <v>30</v>
      </c>
      <c r="C30" s="6" t="s">
        <v>32</v>
      </c>
    </row>
    <row r="31" customFormat="false" ht="23.85" hidden="false" customHeight="false" outlineLevel="0" collapsed="false">
      <c r="B31" s="5" t="s">
        <v>30</v>
      </c>
      <c r="C31" s="6" t="s">
        <v>33</v>
      </c>
    </row>
    <row r="32" customFormat="false" ht="23.85" hidden="false" customHeight="false" outlineLevel="0" collapsed="false">
      <c r="B32" s="5" t="s">
        <v>30</v>
      </c>
      <c r="C32" s="6" t="s">
        <v>34</v>
      </c>
    </row>
  </sheetData>
  <mergeCells count="7">
    <mergeCell ref="B2:C2"/>
    <mergeCell ref="B3:C3"/>
    <mergeCell ref="B4:C4"/>
    <mergeCell ref="B6:C6"/>
    <mergeCell ref="B14:C14"/>
    <mergeCell ref="B21:C21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2:A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23" min="6" style="0" width="9"/>
    <col collapsed="false" customWidth="true" hidden="false" outlineLevel="0" max="30" min="24" style="0" width="14"/>
  </cols>
  <sheetData>
    <row r="2" customFormat="false" ht="24" hidden="false" customHeight="true" outlineLevel="0" collapsed="false">
      <c r="B2" s="7" t="s">
        <v>35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customFormat="false" ht="15" hidden="false" customHeight="true" outlineLevel="0" collapsed="false">
      <c r="B3" s="8" t="s">
        <v>36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customFormat="false" ht="15" hidden="false" customHeight="true" outlineLevel="0" collapsed="false">
      <c r="Y4" s="9" t="s">
        <v>37</v>
      </c>
      <c r="Z4" s="9"/>
      <c r="AA4" s="9"/>
      <c r="AB4" s="9"/>
      <c r="AC4" s="9"/>
      <c r="AD4" s="9"/>
      <c r="AE4" s="9"/>
    </row>
    <row r="5" customFormat="false" ht="30" hidden="false" customHeight="true" outlineLevel="0" collapsed="false">
      <c r="B5" s="10" t="s">
        <v>38</v>
      </c>
      <c r="C5" s="10" t="s">
        <v>39</v>
      </c>
      <c r="D5" s="10" t="s">
        <v>40</v>
      </c>
      <c r="E5" s="10" t="s">
        <v>41</v>
      </c>
      <c r="F5" s="11" t="s">
        <v>42</v>
      </c>
      <c r="G5" s="11" t="s">
        <v>43</v>
      </c>
      <c r="H5" s="11" t="s">
        <v>44</v>
      </c>
      <c r="I5" s="11" t="s">
        <v>45</v>
      </c>
      <c r="J5" s="11" t="s">
        <v>46</v>
      </c>
      <c r="K5" s="11" t="s">
        <v>47</v>
      </c>
      <c r="L5" s="11" t="s">
        <v>48</v>
      </c>
      <c r="M5" s="11" t="s">
        <v>49</v>
      </c>
      <c r="N5" s="11" t="s">
        <v>50</v>
      </c>
      <c r="O5" s="11" t="s">
        <v>51</v>
      </c>
      <c r="P5" s="11" t="s">
        <v>52</v>
      </c>
      <c r="Q5" s="11" t="s">
        <v>53</v>
      </c>
      <c r="R5" s="11" t="s">
        <v>54</v>
      </c>
      <c r="S5" s="11" t="s">
        <v>55</v>
      </c>
      <c r="T5" s="11" t="s">
        <v>56</v>
      </c>
      <c r="U5" s="11" t="s">
        <v>57</v>
      </c>
      <c r="V5" s="11" t="s">
        <v>58</v>
      </c>
      <c r="W5" s="11" t="s">
        <v>59</v>
      </c>
      <c r="Y5" s="12" t="s">
        <v>60</v>
      </c>
      <c r="Z5" s="12" t="s">
        <v>61</v>
      </c>
      <c r="AA5" s="12" t="s">
        <v>62</v>
      </c>
      <c r="AB5" s="12" t="s">
        <v>63</v>
      </c>
      <c r="AC5" s="12" t="s">
        <v>64</v>
      </c>
      <c r="AD5" s="12" t="s">
        <v>65</v>
      </c>
      <c r="AE5" s="12" t="s">
        <v>66</v>
      </c>
    </row>
    <row r="6" customFormat="false" ht="18" hidden="false" customHeight="true" outlineLevel="0" collapsed="false">
      <c r="B6" s="13" t="s">
        <v>67</v>
      </c>
      <c r="C6" s="14" t="s">
        <v>68</v>
      </c>
      <c r="D6" s="14" t="s">
        <v>69</v>
      </c>
      <c r="E6" s="15" t="n">
        <v>28500</v>
      </c>
      <c r="F6" s="16" t="n">
        <v>320</v>
      </c>
      <c r="G6" s="16" t="n">
        <v>290</v>
      </c>
      <c r="H6" s="16" t="n">
        <v>410</v>
      </c>
      <c r="I6" s="16" t="n">
        <v>380</v>
      </c>
      <c r="J6" s="16" t="n">
        <v>350</v>
      </c>
      <c r="K6" s="17" t="n">
        <v>3100</v>
      </c>
      <c r="L6" s="16" t="n">
        <v>290</v>
      </c>
      <c r="M6" s="16" t="n">
        <v>330</v>
      </c>
      <c r="N6" s="16" t="n">
        <v>390</v>
      </c>
      <c r="O6" s="16" t="n">
        <v>420</v>
      </c>
      <c r="P6" s="16" t="n">
        <v>450</v>
      </c>
      <c r="Q6" s="16" t="n">
        <v>480</v>
      </c>
      <c r="R6" s="16" t="n">
        <v>340</v>
      </c>
      <c r="S6" s="16" t="n">
        <v>300</v>
      </c>
      <c r="T6" s="16" t="n">
        <v>430</v>
      </c>
      <c r="U6" s="16" t="n">
        <v>400</v>
      </c>
      <c r="V6" s="16" t="n">
        <v>370</v>
      </c>
      <c r="W6" s="16" t="n">
        <v>325</v>
      </c>
      <c r="Y6" s="18" t="n">
        <f aca="false">SUMIF(F6:W6,"&gt;0")</f>
        <v>9375</v>
      </c>
      <c r="Z6" s="19"/>
      <c r="AA6" s="18" t="n">
        <f aca="false">MAX(F6:W6)</f>
        <v>3100</v>
      </c>
      <c r="AB6" s="19"/>
      <c r="AC6" s="18" t="n">
        <f aca="false">COUNTA(F6:W6)-COUNTIF(F6:W6,"&lt;0")</f>
        <v>18</v>
      </c>
      <c r="AD6" s="19"/>
      <c r="AE6" s="19"/>
    </row>
    <row r="7" customFormat="false" ht="18" hidden="false" customHeight="true" outlineLevel="0" collapsed="false">
      <c r="B7" s="20" t="s">
        <v>70</v>
      </c>
      <c r="C7" s="21" t="s">
        <v>71</v>
      </c>
      <c r="D7" s="21" t="s">
        <v>72</v>
      </c>
      <c r="E7" s="22" t="n">
        <v>85000</v>
      </c>
      <c r="F7" s="23" t="n">
        <v>180</v>
      </c>
      <c r="G7" s="23" t="n">
        <v>160</v>
      </c>
      <c r="H7" s="23" t="n">
        <v>220</v>
      </c>
      <c r="I7" s="23" t="n">
        <v>200</v>
      </c>
      <c r="J7" s="23" t="n">
        <v>190</v>
      </c>
      <c r="K7" s="23" t="n">
        <v>170</v>
      </c>
      <c r="L7" s="23" t="n">
        <v>155</v>
      </c>
      <c r="M7" s="23" t="n">
        <v>185</v>
      </c>
      <c r="N7" s="23" t="n">
        <v>210</v>
      </c>
      <c r="O7" s="23" t="n">
        <v>240</v>
      </c>
      <c r="P7" s="23" t="n">
        <v>260</v>
      </c>
      <c r="Q7" s="23" t="n">
        <v>290</v>
      </c>
      <c r="R7" s="23" t="n">
        <v>190</v>
      </c>
      <c r="S7" s="23" t="n">
        <v>165</v>
      </c>
      <c r="T7" s="17" t="n">
        <v>2300</v>
      </c>
      <c r="U7" s="23" t="n">
        <v>215</v>
      </c>
      <c r="V7" s="23" t="n">
        <v>200</v>
      </c>
      <c r="W7" s="23" t="n">
        <v>180</v>
      </c>
      <c r="Y7" s="18" t="n">
        <f aca="false">SUMIF(F7:W7,"&gt;0")</f>
        <v>5710</v>
      </c>
      <c r="Z7" s="19"/>
      <c r="AA7" s="18" t="n">
        <f aca="false">MAX(F7:W7)</f>
        <v>2300</v>
      </c>
      <c r="AB7" s="19"/>
      <c r="AC7" s="18" t="n">
        <f aca="false">COUNTA(F7:W7)-COUNTIF(F7:W7,"&lt;0")</f>
        <v>18</v>
      </c>
      <c r="AD7" s="19"/>
      <c r="AE7" s="19"/>
    </row>
    <row r="8" customFormat="false" ht="18" hidden="false" customHeight="true" outlineLevel="0" collapsed="false">
      <c r="B8" s="13" t="s">
        <v>73</v>
      </c>
      <c r="C8" s="14" t="s">
        <v>74</v>
      </c>
      <c r="D8" s="14" t="s">
        <v>75</v>
      </c>
      <c r="E8" s="15" t="n">
        <v>195000</v>
      </c>
      <c r="F8" s="16" t="n">
        <v>95</v>
      </c>
      <c r="G8" s="16" t="n">
        <v>85</v>
      </c>
      <c r="H8" s="16" t="n">
        <v>70</v>
      </c>
      <c r="I8" s="16" t="n">
        <v>65</v>
      </c>
      <c r="J8" s="16" t="n">
        <v>60</v>
      </c>
      <c r="K8" s="16" t="n">
        <v>55</v>
      </c>
      <c r="L8" s="16" t="n">
        <v>50</v>
      </c>
      <c r="M8" s="16" t="n">
        <v>60</v>
      </c>
      <c r="N8" s="16" t="n">
        <v>75</v>
      </c>
      <c r="O8" s="16" t="n">
        <v>100</v>
      </c>
      <c r="P8" s="16" t="n">
        <v>130</v>
      </c>
      <c r="Q8" s="17"/>
      <c r="R8" s="16" t="n">
        <v>100</v>
      </c>
      <c r="S8" s="16" t="n">
        <v>88</v>
      </c>
      <c r="T8" s="16" t="n">
        <v>72</v>
      </c>
      <c r="U8" s="16" t="n">
        <v>68</v>
      </c>
      <c r="V8" s="16" t="n">
        <v>63</v>
      </c>
      <c r="W8" s="16" t="n">
        <v>57</v>
      </c>
      <c r="Y8" s="18" t="n">
        <f aca="false">SUMIF(F8:W8,"&gt;0")</f>
        <v>1293</v>
      </c>
      <c r="Z8" s="19"/>
      <c r="AA8" s="18" t="n">
        <f aca="false">MAX(F8:W8)</f>
        <v>130</v>
      </c>
      <c r="AB8" s="19"/>
      <c r="AC8" s="18" t="n">
        <f aca="false">COUNTA(F8:W8)-COUNTIF(F8:W8,"&lt;0")</f>
        <v>17</v>
      </c>
      <c r="AD8" s="19"/>
      <c r="AE8" s="19"/>
    </row>
    <row r="9" customFormat="false" ht="18" hidden="false" customHeight="true" outlineLevel="0" collapsed="false">
      <c r="B9" s="20" t="s">
        <v>76</v>
      </c>
      <c r="C9" s="21" t="s">
        <v>77</v>
      </c>
      <c r="D9" s="21" t="s">
        <v>78</v>
      </c>
      <c r="E9" s="22" t="n">
        <v>42000</v>
      </c>
      <c r="F9" s="23" t="n">
        <v>520</v>
      </c>
      <c r="G9" s="23" t="n">
        <v>480</v>
      </c>
      <c r="H9" s="23" t="n">
        <v>610</v>
      </c>
      <c r="I9" s="23" t="n">
        <v>590</v>
      </c>
      <c r="J9" s="23" t="n">
        <v>550</v>
      </c>
      <c r="K9" s="23" t="n">
        <v>510</v>
      </c>
      <c r="L9" s="23" t="n">
        <v>490</v>
      </c>
      <c r="M9" s="23" t="n">
        <v>530</v>
      </c>
      <c r="N9" s="17" t="n">
        <v>-580</v>
      </c>
      <c r="O9" s="23" t="n">
        <v>640</v>
      </c>
      <c r="P9" s="23" t="n">
        <v>700</v>
      </c>
      <c r="Q9" s="23" t="n">
        <v>760</v>
      </c>
      <c r="R9" s="23" t="n">
        <v>545</v>
      </c>
      <c r="S9" s="23" t="n">
        <v>500</v>
      </c>
      <c r="T9" s="23" t="n">
        <v>630</v>
      </c>
      <c r="U9" s="23" t="n">
        <v>610</v>
      </c>
      <c r="V9" s="23" t="n">
        <v>570</v>
      </c>
      <c r="W9" s="23" t="n">
        <v>525</v>
      </c>
      <c r="Y9" s="18" t="n">
        <f aca="false">SUMIF(F9:W9,"&gt;0")</f>
        <v>9760</v>
      </c>
      <c r="Z9" s="19"/>
      <c r="AA9" s="18" t="n">
        <f aca="false">MAX(F9:W9)</f>
        <v>760</v>
      </c>
      <c r="AB9" s="19"/>
      <c r="AC9" s="18" t="n">
        <f aca="false">COUNTA(F9:W9)-COUNTIF(F9:W9,"&lt;0")</f>
        <v>17</v>
      </c>
      <c r="AD9" s="19"/>
      <c r="AE9" s="19"/>
    </row>
    <row r="10" customFormat="false" ht="18" hidden="false" customHeight="true" outlineLevel="0" collapsed="false">
      <c r="B10" s="13" t="s">
        <v>79</v>
      </c>
      <c r="C10" s="14" t="s">
        <v>80</v>
      </c>
      <c r="D10" s="14" t="s">
        <v>81</v>
      </c>
      <c r="E10" s="15" t="n">
        <v>67000</v>
      </c>
      <c r="F10" s="16" t="n">
        <v>75</v>
      </c>
      <c r="G10" s="16" t="n">
        <v>68</v>
      </c>
      <c r="H10" s="16" t="n">
        <v>90</v>
      </c>
      <c r="I10" s="16" t="n">
        <v>85</v>
      </c>
      <c r="J10" s="16" t="n">
        <v>78</v>
      </c>
      <c r="K10" s="16" t="n">
        <v>70</v>
      </c>
      <c r="L10" s="16" t="n">
        <v>65</v>
      </c>
      <c r="M10" s="16" t="n">
        <v>72</v>
      </c>
      <c r="N10" s="16" t="n">
        <v>88</v>
      </c>
      <c r="O10" s="16" t="n">
        <v>95</v>
      </c>
      <c r="P10" s="16" t="n">
        <v>105</v>
      </c>
      <c r="Q10" s="16" t="n">
        <v>115</v>
      </c>
      <c r="R10" s="16" t="n">
        <v>78</v>
      </c>
      <c r="S10" s="16" t="n">
        <v>70</v>
      </c>
      <c r="T10" s="16" t="n">
        <v>93</v>
      </c>
      <c r="U10" s="16" t="n">
        <v>88</v>
      </c>
      <c r="V10" s="16" t="n">
        <v>81</v>
      </c>
      <c r="W10" s="16" t="n">
        <v>73</v>
      </c>
      <c r="Y10" s="18" t="n">
        <f aca="false">SUMIF(F10:W10,"&gt;0")</f>
        <v>1489</v>
      </c>
      <c r="Z10" s="19"/>
      <c r="AA10" s="18" t="n">
        <f aca="false">MAX(F10:W10)</f>
        <v>115</v>
      </c>
      <c r="AB10" s="19"/>
      <c r="AC10" s="18" t="n">
        <f aca="false">COUNTA(F10:W10)-COUNTIF(F10:W10,"&lt;0")</f>
        <v>18</v>
      </c>
      <c r="AD10" s="19"/>
      <c r="AE10" s="19"/>
    </row>
    <row r="11" customFormat="false" ht="18" hidden="false" customHeight="true" outlineLevel="0" collapsed="false">
      <c r="B11" s="20" t="s">
        <v>82</v>
      </c>
      <c r="C11" s="21" t="s">
        <v>83</v>
      </c>
      <c r="D11" s="21" t="s">
        <v>84</v>
      </c>
      <c r="E11" s="22" t="n">
        <v>128000</v>
      </c>
      <c r="F11" s="23" t="n">
        <v>110</v>
      </c>
      <c r="G11" s="23" t="n">
        <v>98</v>
      </c>
      <c r="H11" s="23" t="n">
        <v>130</v>
      </c>
      <c r="I11" s="23" t="n">
        <v>125</v>
      </c>
      <c r="J11" s="23" t="n">
        <v>115</v>
      </c>
      <c r="K11" s="23" t="n">
        <v>105</v>
      </c>
      <c r="L11" s="23" t="n">
        <v>95</v>
      </c>
      <c r="M11" s="23" t="n">
        <v>108</v>
      </c>
      <c r="N11" s="23" t="n">
        <v>128</v>
      </c>
      <c r="O11" s="23" t="n">
        <v>140</v>
      </c>
      <c r="P11" s="23" t="n">
        <v>155</v>
      </c>
      <c r="Q11" s="23" t="n">
        <v>170</v>
      </c>
      <c r="R11" s="23" t="n">
        <v>115</v>
      </c>
      <c r="S11" s="23" t="n">
        <v>100</v>
      </c>
      <c r="T11" s="23" t="n">
        <v>135</v>
      </c>
      <c r="U11" s="23" t="n">
        <v>130</v>
      </c>
      <c r="V11" s="23" t="n">
        <v>120</v>
      </c>
      <c r="W11" s="23" t="n">
        <v>109</v>
      </c>
      <c r="Y11" s="18" t="n">
        <f aca="false">SUMIF(F11:W11,"&gt;0")</f>
        <v>2188</v>
      </c>
      <c r="Z11" s="19"/>
      <c r="AA11" s="18" t="n">
        <f aca="false">MAX(F11:W11)</f>
        <v>170</v>
      </c>
      <c r="AB11" s="19"/>
      <c r="AC11" s="18" t="n">
        <f aca="false">COUNTA(F11:W11)-COUNTIF(F11:W11,"&lt;0")</f>
        <v>18</v>
      </c>
      <c r="AD11" s="19"/>
      <c r="AE11" s="19"/>
    </row>
    <row r="13" customFormat="false" ht="15" hidden="false" customHeight="true" outlineLevel="0" collapsed="false">
      <c r="B13" s="24" t="s">
        <v>85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customFormat="false" ht="49.5" hidden="false" customHeight="true" outlineLevel="0" collapsed="false">
      <c r="B14" s="25" t="s">
        <v>86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  <row r="15" customFormat="false" ht="49.5" hidden="false" customHeight="true" outlineLevel="0" collapsed="false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</row>
  </sheetData>
  <mergeCells count="5">
    <mergeCell ref="B2:Y2"/>
    <mergeCell ref="B3:Y3"/>
    <mergeCell ref="Y4:AE4"/>
    <mergeCell ref="B13:AE13"/>
    <mergeCell ref="B14:A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2:R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27" min="5" style="0" width="11"/>
  </cols>
  <sheetData>
    <row r="2" customFormat="false" ht="24" hidden="false" customHeight="true" outlineLevel="0" collapsed="false">
      <c r="B2" s="7" t="s">
        <v>87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customFormat="false" ht="15" hidden="false" customHeight="true" outlineLevel="0" collapsed="false">
      <c r="B3" s="8" t="s">
        <v>88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5" customFormat="false" ht="15" hidden="false" customHeight="true" outlineLevel="0" collapsed="false">
      <c r="B5" s="4" t="s">
        <v>89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customFormat="false" ht="15" hidden="false" customHeight="false" outlineLevel="0" collapsed="false">
      <c r="B6" s="10" t="s">
        <v>38</v>
      </c>
      <c r="C6" s="10" t="s">
        <v>39</v>
      </c>
      <c r="D6" s="10" t="s">
        <v>90</v>
      </c>
      <c r="E6" s="11" t="s">
        <v>54</v>
      </c>
      <c r="F6" s="11" t="s">
        <v>55</v>
      </c>
      <c r="G6" s="11" t="s">
        <v>56</v>
      </c>
      <c r="H6" s="11" t="s">
        <v>57</v>
      </c>
      <c r="I6" s="11" t="s">
        <v>58</v>
      </c>
      <c r="J6" s="11" t="s">
        <v>59</v>
      </c>
      <c r="K6" s="12" t="s">
        <v>91</v>
      </c>
      <c r="L6" s="12" t="s">
        <v>92</v>
      </c>
      <c r="M6" s="12" t="s">
        <v>93</v>
      </c>
      <c r="N6" s="12" t="s">
        <v>94</v>
      </c>
      <c r="O6" s="12" t="s">
        <v>95</v>
      </c>
      <c r="P6" s="12" t="s">
        <v>96</v>
      </c>
    </row>
    <row r="7" customFormat="false" ht="18" hidden="false" customHeight="true" outlineLevel="0" collapsed="false">
      <c r="B7" s="13" t="s">
        <v>67</v>
      </c>
      <c r="C7" s="14" t="s">
        <v>68</v>
      </c>
      <c r="D7" s="15" t="n">
        <v>28500</v>
      </c>
      <c r="E7" s="26" t="n">
        <f aca="false">'Histórico Ventas'!R6</f>
        <v>340</v>
      </c>
      <c r="F7" s="26" t="n">
        <f aca="false">'Histórico Ventas'!S6</f>
        <v>300</v>
      </c>
      <c r="G7" s="26" t="n">
        <f aca="false">'Histórico Ventas'!T6</f>
        <v>430</v>
      </c>
      <c r="H7" s="26" t="n">
        <f aca="false">'Histórico Ventas'!U6</f>
        <v>400</v>
      </c>
      <c r="I7" s="26" t="n">
        <f aca="false">'Histórico Ventas'!V6</f>
        <v>370</v>
      </c>
      <c r="J7" s="26" t="n">
        <f aca="false">'Histórico Ventas'!W6</f>
        <v>325</v>
      </c>
      <c r="K7" s="27"/>
      <c r="L7" s="27"/>
      <c r="M7" s="27"/>
      <c r="N7" s="27"/>
      <c r="O7" s="27"/>
      <c r="P7" s="27"/>
    </row>
    <row r="8" customFormat="false" ht="18" hidden="false" customHeight="true" outlineLevel="0" collapsed="false">
      <c r="B8" s="20" t="s">
        <v>70</v>
      </c>
      <c r="C8" s="21" t="s">
        <v>71</v>
      </c>
      <c r="D8" s="22" t="n">
        <v>85000</v>
      </c>
      <c r="E8" s="28" t="n">
        <f aca="false">'Histórico Ventas'!R7</f>
        <v>190</v>
      </c>
      <c r="F8" s="28" t="n">
        <f aca="false">'Histórico Ventas'!S7</f>
        <v>165</v>
      </c>
      <c r="G8" s="28" t="n">
        <f aca="false">'Histórico Ventas'!T7</f>
        <v>2300</v>
      </c>
      <c r="H8" s="28" t="n">
        <f aca="false">'Histórico Ventas'!U7</f>
        <v>215</v>
      </c>
      <c r="I8" s="28" t="n">
        <f aca="false">'Histórico Ventas'!V7</f>
        <v>200</v>
      </c>
      <c r="J8" s="28" t="n">
        <f aca="false">'Histórico Ventas'!W7</f>
        <v>180</v>
      </c>
      <c r="K8" s="27"/>
      <c r="L8" s="27"/>
      <c r="M8" s="27"/>
      <c r="N8" s="27"/>
      <c r="O8" s="27"/>
      <c r="P8" s="27"/>
    </row>
    <row r="9" customFormat="false" ht="18" hidden="false" customHeight="true" outlineLevel="0" collapsed="false">
      <c r="B9" s="13" t="s">
        <v>73</v>
      </c>
      <c r="C9" s="14" t="s">
        <v>74</v>
      </c>
      <c r="D9" s="15" t="n">
        <v>195000</v>
      </c>
      <c r="E9" s="26" t="n">
        <f aca="false">'Histórico Ventas'!R8</f>
        <v>100</v>
      </c>
      <c r="F9" s="26" t="n">
        <f aca="false">'Histórico Ventas'!S8</f>
        <v>88</v>
      </c>
      <c r="G9" s="26" t="n">
        <f aca="false">'Histórico Ventas'!T8</f>
        <v>72</v>
      </c>
      <c r="H9" s="26" t="n">
        <f aca="false">'Histórico Ventas'!U8</f>
        <v>68</v>
      </c>
      <c r="I9" s="26" t="n">
        <f aca="false">'Histórico Ventas'!V8</f>
        <v>63</v>
      </c>
      <c r="J9" s="26" t="n">
        <f aca="false">'Histórico Ventas'!W8</f>
        <v>57</v>
      </c>
      <c r="K9" s="27"/>
      <c r="L9" s="27"/>
      <c r="M9" s="27"/>
      <c r="N9" s="27"/>
      <c r="O9" s="27"/>
      <c r="P9" s="27"/>
    </row>
    <row r="10" customFormat="false" ht="18" hidden="false" customHeight="true" outlineLevel="0" collapsed="false">
      <c r="B10" s="20" t="s">
        <v>76</v>
      </c>
      <c r="C10" s="21" t="s">
        <v>77</v>
      </c>
      <c r="D10" s="22" t="n">
        <v>42000</v>
      </c>
      <c r="E10" s="28" t="n">
        <f aca="false">'Histórico Ventas'!R9</f>
        <v>545</v>
      </c>
      <c r="F10" s="28" t="n">
        <f aca="false">'Histórico Ventas'!S9</f>
        <v>500</v>
      </c>
      <c r="G10" s="28" t="n">
        <f aca="false">'Histórico Ventas'!T9</f>
        <v>630</v>
      </c>
      <c r="H10" s="28" t="n">
        <f aca="false">'Histórico Ventas'!U9</f>
        <v>610</v>
      </c>
      <c r="I10" s="28" t="n">
        <f aca="false">'Histórico Ventas'!V9</f>
        <v>570</v>
      </c>
      <c r="J10" s="28" t="n">
        <f aca="false">'Histórico Ventas'!W9</f>
        <v>525</v>
      </c>
      <c r="K10" s="27"/>
      <c r="L10" s="27"/>
      <c r="M10" s="27"/>
      <c r="N10" s="27"/>
      <c r="O10" s="27"/>
      <c r="P10" s="27"/>
    </row>
    <row r="11" customFormat="false" ht="18" hidden="false" customHeight="true" outlineLevel="0" collapsed="false">
      <c r="B11" s="13" t="s">
        <v>79</v>
      </c>
      <c r="C11" s="14" t="s">
        <v>80</v>
      </c>
      <c r="D11" s="15" t="n">
        <v>67000</v>
      </c>
      <c r="E11" s="26" t="n">
        <f aca="false">'Histórico Ventas'!R10</f>
        <v>78</v>
      </c>
      <c r="F11" s="26" t="n">
        <f aca="false">'Histórico Ventas'!S10</f>
        <v>70</v>
      </c>
      <c r="G11" s="26" t="n">
        <f aca="false">'Histórico Ventas'!T10</f>
        <v>93</v>
      </c>
      <c r="H11" s="26" t="n">
        <f aca="false">'Histórico Ventas'!U10</f>
        <v>88</v>
      </c>
      <c r="I11" s="26" t="n">
        <f aca="false">'Histórico Ventas'!V10</f>
        <v>81</v>
      </c>
      <c r="J11" s="26" t="n">
        <f aca="false">'Histórico Ventas'!W10</f>
        <v>73</v>
      </c>
      <c r="K11" s="27"/>
      <c r="L11" s="27"/>
      <c r="M11" s="27"/>
      <c r="N11" s="27"/>
      <c r="O11" s="27"/>
      <c r="P11" s="27"/>
    </row>
    <row r="12" customFormat="false" ht="18" hidden="false" customHeight="true" outlineLevel="0" collapsed="false">
      <c r="B12" s="20" t="s">
        <v>82</v>
      </c>
      <c r="C12" s="21" t="s">
        <v>83</v>
      </c>
      <c r="D12" s="22" t="n">
        <v>128000</v>
      </c>
      <c r="E12" s="28" t="n">
        <f aca="false">'Histórico Ventas'!R11</f>
        <v>115</v>
      </c>
      <c r="F12" s="28" t="n">
        <f aca="false">'Histórico Ventas'!S11</f>
        <v>100</v>
      </c>
      <c r="G12" s="28" t="n">
        <f aca="false">'Histórico Ventas'!T11</f>
        <v>135</v>
      </c>
      <c r="H12" s="28" t="n">
        <f aca="false">'Histórico Ventas'!U11</f>
        <v>130</v>
      </c>
      <c r="I12" s="28" t="n">
        <f aca="false">'Histórico Ventas'!V11</f>
        <v>120</v>
      </c>
      <c r="J12" s="28" t="n">
        <f aca="false">'Histórico Ventas'!W11</f>
        <v>109</v>
      </c>
      <c r="K12" s="27"/>
      <c r="L12" s="27"/>
      <c r="M12" s="27"/>
      <c r="N12" s="27"/>
      <c r="O12" s="27"/>
      <c r="P12" s="27"/>
    </row>
    <row r="14" customFormat="false" ht="15" hidden="false" customHeight="true" outlineLevel="0" collapsed="false">
      <c r="B14" s="29" t="s">
        <v>97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6" customFormat="false" ht="15" hidden="false" customHeight="true" outlineLevel="0" collapsed="false">
      <c r="B16" s="4" t="s">
        <v>98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customFormat="false" ht="15" hidden="false" customHeight="false" outlineLevel="0" collapsed="false">
      <c r="B17" s="30" t="s">
        <v>99</v>
      </c>
      <c r="C17" s="31" t="n">
        <v>0.3</v>
      </c>
      <c r="D17" s="32" t="s">
        <v>100</v>
      </c>
    </row>
    <row r="18" customFormat="false" ht="15" hidden="false" customHeight="false" outlineLevel="0" collapsed="false">
      <c r="B18" s="10" t="s">
        <v>38</v>
      </c>
      <c r="C18" s="10" t="s">
        <v>39</v>
      </c>
      <c r="D18" s="10" t="s">
        <v>90</v>
      </c>
      <c r="E18" s="11" t="s">
        <v>54</v>
      </c>
      <c r="F18" s="11" t="s">
        <v>55</v>
      </c>
      <c r="G18" s="11" t="s">
        <v>56</v>
      </c>
      <c r="H18" s="11" t="s">
        <v>57</v>
      </c>
      <c r="I18" s="11" t="s">
        <v>58</v>
      </c>
      <c r="J18" s="11" t="s">
        <v>59</v>
      </c>
      <c r="K18" s="12" t="s">
        <v>91</v>
      </c>
      <c r="L18" s="12" t="s">
        <v>92</v>
      </c>
      <c r="M18" s="12" t="s">
        <v>93</v>
      </c>
      <c r="N18" s="12" t="s">
        <v>94</v>
      </c>
      <c r="O18" s="12" t="s">
        <v>95</v>
      </c>
      <c r="P18" s="12" t="s">
        <v>96</v>
      </c>
    </row>
    <row r="19" customFormat="false" ht="18" hidden="false" customHeight="true" outlineLevel="0" collapsed="false">
      <c r="B19" s="13" t="s">
        <v>67</v>
      </c>
      <c r="C19" s="14" t="s">
        <v>68</v>
      </c>
      <c r="D19" s="15" t="n">
        <v>28500</v>
      </c>
      <c r="E19" s="26" t="n">
        <f aca="false">'Histórico Ventas'!R6</f>
        <v>340</v>
      </c>
      <c r="F19" s="26" t="n">
        <f aca="false">'Histórico Ventas'!S6</f>
        <v>300</v>
      </c>
      <c r="G19" s="26" t="n">
        <f aca="false">'Histórico Ventas'!T6</f>
        <v>430</v>
      </c>
      <c r="H19" s="26" t="n">
        <f aca="false">'Histórico Ventas'!U6</f>
        <v>400</v>
      </c>
      <c r="I19" s="26" t="n">
        <f aca="false">'Histórico Ventas'!V6</f>
        <v>370</v>
      </c>
      <c r="J19" s="26" t="n">
        <f aca="false">'Histórico Ventas'!W6</f>
        <v>325</v>
      </c>
      <c r="K19" s="27"/>
      <c r="L19" s="27"/>
      <c r="M19" s="27"/>
      <c r="N19" s="27"/>
      <c r="O19" s="27"/>
      <c r="P19" s="27"/>
    </row>
    <row r="20" customFormat="false" ht="18" hidden="false" customHeight="true" outlineLevel="0" collapsed="false">
      <c r="B20" s="20" t="s">
        <v>70</v>
      </c>
      <c r="C20" s="21" t="s">
        <v>71</v>
      </c>
      <c r="D20" s="22" t="n">
        <v>85000</v>
      </c>
      <c r="E20" s="28" t="n">
        <f aca="false">'Histórico Ventas'!R7</f>
        <v>190</v>
      </c>
      <c r="F20" s="28" t="n">
        <f aca="false">'Histórico Ventas'!S7</f>
        <v>165</v>
      </c>
      <c r="G20" s="28" t="n">
        <f aca="false">'Histórico Ventas'!T7</f>
        <v>2300</v>
      </c>
      <c r="H20" s="28" t="n">
        <f aca="false">'Histórico Ventas'!U7</f>
        <v>215</v>
      </c>
      <c r="I20" s="28" t="n">
        <f aca="false">'Histórico Ventas'!V7</f>
        <v>200</v>
      </c>
      <c r="J20" s="28" t="n">
        <f aca="false">'Histórico Ventas'!W7</f>
        <v>180</v>
      </c>
      <c r="K20" s="27"/>
      <c r="L20" s="27"/>
      <c r="M20" s="27"/>
      <c r="N20" s="27"/>
      <c r="O20" s="27"/>
      <c r="P20" s="27"/>
    </row>
    <row r="21" customFormat="false" ht="18" hidden="false" customHeight="true" outlineLevel="0" collapsed="false">
      <c r="B21" s="13" t="s">
        <v>73</v>
      </c>
      <c r="C21" s="14" t="s">
        <v>74</v>
      </c>
      <c r="D21" s="15" t="n">
        <v>195000</v>
      </c>
      <c r="E21" s="26" t="n">
        <f aca="false">'Histórico Ventas'!R8</f>
        <v>100</v>
      </c>
      <c r="F21" s="26" t="n">
        <f aca="false">'Histórico Ventas'!S8</f>
        <v>88</v>
      </c>
      <c r="G21" s="26" t="n">
        <f aca="false">'Histórico Ventas'!T8</f>
        <v>72</v>
      </c>
      <c r="H21" s="26" t="n">
        <f aca="false">'Histórico Ventas'!U8</f>
        <v>68</v>
      </c>
      <c r="I21" s="26" t="n">
        <f aca="false">'Histórico Ventas'!V8</f>
        <v>63</v>
      </c>
      <c r="J21" s="26" t="n">
        <f aca="false">'Histórico Ventas'!W8</f>
        <v>57</v>
      </c>
      <c r="K21" s="27"/>
      <c r="L21" s="27"/>
      <c r="M21" s="27"/>
      <c r="N21" s="27"/>
      <c r="O21" s="27"/>
      <c r="P21" s="27"/>
    </row>
    <row r="22" customFormat="false" ht="18" hidden="false" customHeight="true" outlineLevel="0" collapsed="false">
      <c r="B22" s="20" t="s">
        <v>76</v>
      </c>
      <c r="C22" s="21" t="s">
        <v>77</v>
      </c>
      <c r="D22" s="22" t="n">
        <v>42000</v>
      </c>
      <c r="E22" s="28" t="n">
        <f aca="false">'Histórico Ventas'!R9</f>
        <v>545</v>
      </c>
      <c r="F22" s="28" t="n">
        <f aca="false">'Histórico Ventas'!S9</f>
        <v>500</v>
      </c>
      <c r="G22" s="28" t="n">
        <f aca="false">'Histórico Ventas'!T9</f>
        <v>630</v>
      </c>
      <c r="H22" s="28" t="n">
        <f aca="false">'Histórico Ventas'!U9</f>
        <v>610</v>
      </c>
      <c r="I22" s="28" t="n">
        <f aca="false">'Histórico Ventas'!V9</f>
        <v>570</v>
      </c>
      <c r="J22" s="28" t="n">
        <f aca="false">'Histórico Ventas'!W9</f>
        <v>525</v>
      </c>
      <c r="K22" s="27"/>
      <c r="L22" s="27"/>
      <c r="M22" s="27"/>
      <c r="N22" s="27"/>
      <c r="O22" s="27"/>
      <c r="P22" s="27"/>
    </row>
    <row r="23" customFormat="false" ht="18" hidden="false" customHeight="true" outlineLevel="0" collapsed="false">
      <c r="B23" s="13" t="s">
        <v>79</v>
      </c>
      <c r="C23" s="14" t="s">
        <v>80</v>
      </c>
      <c r="D23" s="15" t="n">
        <v>67000</v>
      </c>
      <c r="E23" s="26" t="n">
        <f aca="false">'Histórico Ventas'!R10</f>
        <v>78</v>
      </c>
      <c r="F23" s="26" t="n">
        <f aca="false">'Histórico Ventas'!S10</f>
        <v>70</v>
      </c>
      <c r="G23" s="26" t="n">
        <f aca="false">'Histórico Ventas'!T10</f>
        <v>93</v>
      </c>
      <c r="H23" s="26" t="n">
        <f aca="false">'Histórico Ventas'!U10</f>
        <v>88</v>
      </c>
      <c r="I23" s="26" t="n">
        <f aca="false">'Histórico Ventas'!V10</f>
        <v>81</v>
      </c>
      <c r="J23" s="26" t="n">
        <f aca="false">'Histórico Ventas'!W10</f>
        <v>73</v>
      </c>
      <c r="K23" s="27"/>
      <c r="L23" s="27"/>
      <c r="M23" s="27"/>
      <c r="N23" s="27"/>
      <c r="O23" s="27"/>
      <c r="P23" s="27"/>
    </row>
    <row r="24" customFormat="false" ht="18" hidden="false" customHeight="true" outlineLevel="0" collapsed="false">
      <c r="B24" s="20" t="s">
        <v>82</v>
      </c>
      <c r="C24" s="21" t="s">
        <v>83</v>
      </c>
      <c r="D24" s="22" t="n">
        <v>128000</v>
      </c>
      <c r="E24" s="28" t="n">
        <f aca="false">'Histórico Ventas'!R11</f>
        <v>115</v>
      </c>
      <c r="F24" s="28" t="n">
        <f aca="false">'Histórico Ventas'!S11</f>
        <v>100</v>
      </c>
      <c r="G24" s="28" t="n">
        <f aca="false">'Histórico Ventas'!T11</f>
        <v>135</v>
      </c>
      <c r="H24" s="28" t="n">
        <f aca="false">'Histórico Ventas'!U11</f>
        <v>130</v>
      </c>
      <c r="I24" s="28" t="n">
        <f aca="false">'Histórico Ventas'!V11</f>
        <v>120</v>
      </c>
      <c r="J24" s="28" t="n">
        <f aca="false">'Histórico Ventas'!W11</f>
        <v>109</v>
      </c>
      <c r="K24" s="27"/>
      <c r="L24" s="27"/>
      <c r="M24" s="27"/>
      <c r="N24" s="27"/>
      <c r="O24" s="27"/>
      <c r="P24" s="27"/>
    </row>
    <row r="25" customFormat="false" ht="15" hidden="false" customHeight="true" outlineLevel="0" collapsed="false">
      <c r="B25" s="29" t="s">
        <v>101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7" customFormat="false" ht="15" hidden="false" customHeight="true" outlineLevel="0" collapsed="false">
      <c r="B27" s="4" t="s">
        <v>102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customFormat="false" ht="15" hidden="false" customHeight="false" outlineLevel="0" collapsed="false">
      <c r="B28" s="12" t="s">
        <v>103</v>
      </c>
      <c r="C28" s="10" t="s">
        <v>104</v>
      </c>
      <c r="D28" s="10" t="s">
        <v>105</v>
      </c>
      <c r="E28" s="10" t="s">
        <v>106</v>
      </c>
      <c r="F28" s="10" t="s">
        <v>107</v>
      </c>
      <c r="G28" s="10" t="s">
        <v>108</v>
      </c>
      <c r="H28" s="10" t="s">
        <v>109</v>
      </c>
      <c r="I28" s="10" t="s">
        <v>110</v>
      </c>
      <c r="J28" s="10" t="s">
        <v>111</v>
      </c>
      <c r="K28" s="10" t="s">
        <v>112</v>
      </c>
      <c r="L28" s="10" t="s">
        <v>113</v>
      </c>
      <c r="M28" s="10" t="s">
        <v>114</v>
      </c>
      <c r="N28" s="10" t="s">
        <v>115</v>
      </c>
    </row>
    <row r="29" customFormat="false" ht="15" hidden="false" customHeight="false" outlineLevel="0" collapsed="false">
      <c r="B29" s="33" t="s">
        <v>116</v>
      </c>
      <c r="C29" s="34" t="n">
        <v>0.88</v>
      </c>
      <c r="D29" s="34" t="n">
        <v>0.8</v>
      </c>
      <c r="E29" s="34" t="n">
        <v>1.06</v>
      </c>
      <c r="F29" s="34" t="n">
        <v>1.01</v>
      </c>
      <c r="G29" s="34" t="n">
        <v>0.94</v>
      </c>
      <c r="H29" s="34" t="n">
        <v>0.86</v>
      </c>
      <c r="I29" s="34" t="n">
        <v>0.81</v>
      </c>
      <c r="J29" s="34" t="n">
        <v>0.88</v>
      </c>
      <c r="K29" s="34" t="n">
        <v>1</v>
      </c>
      <c r="L29" s="34" t="n">
        <v>1.1</v>
      </c>
      <c r="M29" s="34" t="n">
        <v>1.21</v>
      </c>
      <c r="N29" s="34" t="n">
        <v>1.35</v>
      </c>
    </row>
    <row r="31" customFormat="false" ht="15" hidden="false" customHeight="false" outlineLevel="0" collapsed="false">
      <c r="B31" s="35" t="s">
        <v>117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</row>
    <row r="32" customFormat="false" ht="23.85" hidden="false" customHeight="false" outlineLevel="0" collapsed="false">
      <c r="B32" s="12" t="s">
        <v>38</v>
      </c>
      <c r="C32" s="12" t="s">
        <v>39</v>
      </c>
      <c r="D32" s="10" t="s">
        <v>118</v>
      </c>
      <c r="E32" s="10" t="s">
        <v>119</v>
      </c>
      <c r="F32" s="10" t="s">
        <v>120</v>
      </c>
      <c r="G32" s="10" t="s">
        <v>121</v>
      </c>
      <c r="H32" s="10" t="s">
        <v>122</v>
      </c>
      <c r="I32" s="10" t="s">
        <v>123</v>
      </c>
      <c r="J32" s="11" t="s">
        <v>124</v>
      </c>
      <c r="K32" s="11" t="s">
        <v>125</v>
      </c>
      <c r="L32" s="11" t="s">
        <v>126</v>
      </c>
      <c r="M32" s="11" t="s">
        <v>127</v>
      </c>
      <c r="N32" s="11" t="s">
        <v>128</v>
      </c>
      <c r="O32" s="11" t="s">
        <v>129</v>
      </c>
    </row>
    <row r="33" customFormat="false" ht="18" hidden="false" customHeight="true" outlineLevel="0" collapsed="false">
      <c r="B33" s="13" t="s">
        <v>67</v>
      </c>
      <c r="C33" s="14" t="s">
        <v>68</v>
      </c>
      <c r="D33" s="26" t="n">
        <f aca="false">'Forecast Demanda'!K7</f>
        <v>0</v>
      </c>
      <c r="E33" s="26" t="n">
        <f aca="false">'Forecast Demanda'!L7</f>
        <v>0</v>
      </c>
      <c r="F33" s="26" t="n">
        <f aca="false">'Forecast Demanda'!M7</f>
        <v>0</v>
      </c>
      <c r="G33" s="26" t="n">
        <f aca="false">'Forecast Demanda'!N7</f>
        <v>0</v>
      </c>
      <c r="H33" s="26" t="n">
        <f aca="false">'Forecast Demanda'!O7</f>
        <v>0</v>
      </c>
      <c r="I33" s="26" t="n">
        <f aca="false">'Forecast Demanda'!P7</f>
        <v>0</v>
      </c>
      <c r="J33" s="27"/>
      <c r="K33" s="27"/>
      <c r="L33" s="27"/>
      <c r="M33" s="27"/>
      <c r="N33" s="27"/>
      <c r="O33" s="27"/>
    </row>
    <row r="34" customFormat="false" ht="18" hidden="false" customHeight="true" outlineLevel="0" collapsed="false">
      <c r="B34" s="20" t="s">
        <v>70</v>
      </c>
      <c r="C34" s="21" t="s">
        <v>71</v>
      </c>
      <c r="D34" s="28" t="n">
        <f aca="false">'Forecast Demanda'!K8</f>
        <v>0</v>
      </c>
      <c r="E34" s="28" t="n">
        <f aca="false">'Forecast Demanda'!L8</f>
        <v>0</v>
      </c>
      <c r="F34" s="28" t="n">
        <f aca="false">'Forecast Demanda'!M8</f>
        <v>0</v>
      </c>
      <c r="G34" s="28" t="n">
        <f aca="false">'Forecast Demanda'!N8</f>
        <v>0</v>
      </c>
      <c r="H34" s="28" t="n">
        <f aca="false">'Forecast Demanda'!O8</f>
        <v>0</v>
      </c>
      <c r="I34" s="28" t="n">
        <f aca="false">'Forecast Demanda'!P8</f>
        <v>0</v>
      </c>
      <c r="J34" s="27"/>
      <c r="K34" s="27"/>
      <c r="L34" s="27"/>
      <c r="M34" s="27"/>
      <c r="N34" s="27"/>
      <c r="O34" s="27"/>
    </row>
    <row r="35" customFormat="false" ht="18" hidden="false" customHeight="true" outlineLevel="0" collapsed="false">
      <c r="B35" s="13" t="s">
        <v>73</v>
      </c>
      <c r="C35" s="14" t="s">
        <v>74</v>
      </c>
      <c r="D35" s="26" t="n">
        <f aca="false">'Forecast Demanda'!K9</f>
        <v>0</v>
      </c>
      <c r="E35" s="26" t="n">
        <f aca="false">'Forecast Demanda'!L9</f>
        <v>0</v>
      </c>
      <c r="F35" s="26" t="n">
        <f aca="false">'Forecast Demanda'!M9</f>
        <v>0</v>
      </c>
      <c r="G35" s="26" t="n">
        <f aca="false">'Forecast Demanda'!N9</f>
        <v>0</v>
      </c>
      <c r="H35" s="26" t="n">
        <f aca="false">'Forecast Demanda'!O9</f>
        <v>0</v>
      </c>
      <c r="I35" s="26" t="n">
        <f aca="false">'Forecast Demanda'!P9</f>
        <v>0</v>
      </c>
      <c r="J35" s="27"/>
      <c r="K35" s="27"/>
      <c r="L35" s="27"/>
      <c r="M35" s="27"/>
      <c r="N35" s="27"/>
      <c r="O35" s="27"/>
    </row>
    <row r="36" customFormat="false" ht="18" hidden="false" customHeight="true" outlineLevel="0" collapsed="false">
      <c r="B36" s="20" t="s">
        <v>76</v>
      </c>
      <c r="C36" s="21" t="s">
        <v>77</v>
      </c>
      <c r="D36" s="28" t="n">
        <f aca="false">'Forecast Demanda'!K10</f>
        <v>0</v>
      </c>
      <c r="E36" s="28" t="n">
        <f aca="false">'Forecast Demanda'!L10</f>
        <v>0</v>
      </c>
      <c r="F36" s="28" t="n">
        <f aca="false">'Forecast Demanda'!M10</f>
        <v>0</v>
      </c>
      <c r="G36" s="28" t="n">
        <f aca="false">'Forecast Demanda'!N10</f>
        <v>0</v>
      </c>
      <c r="H36" s="28" t="n">
        <f aca="false">'Forecast Demanda'!O10</f>
        <v>0</v>
      </c>
      <c r="I36" s="28" t="n">
        <f aca="false">'Forecast Demanda'!P10</f>
        <v>0</v>
      </c>
      <c r="J36" s="27"/>
      <c r="K36" s="27"/>
      <c r="L36" s="27"/>
      <c r="M36" s="27"/>
      <c r="N36" s="27"/>
      <c r="O36" s="27"/>
    </row>
    <row r="37" customFormat="false" ht="18" hidden="false" customHeight="true" outlineLevel="0" collapsed="false">
      <c r="B37" s="13" t="s">
        <v>79</v>
      </c>
      <c r="C37" s="14" t="s">
        <v>80</v>
      </c>
      <c r="D37" s="26" t="n">
        <f aca="false">'Forecast Demanda'!K11</f>
        <v>0</v>
      </c>
      <c r="E37" s="26" t="n">
        <f aca="false">'Forecast Demanda'!L11</f>
        <v>0</v>
      </c>
      <c r="F37" s="26" t="n">
        <f aca="false">'Forecast Demanda'!M11</f>
        <v>0</v>
      </c>
      <c r="G37" s="26" t="n">
        <f aca="false">'Forecast Demanda'!N11</f>
        <v>0</v>
      </c>
      <c r="H37" s="26" t="n">
        <f aca="false">'Forecast Demanda'!O11</f>
        <v>0</v>
      </c>
      <c r="I37" s="26" t="n">
        <f aca="false">'Forecast Demanda'!P11</f>
        <v>0</v>
      </c>
      <c r="J37" s="27"/>
      <c r="K37" s="27"/>
      <c r="L37" s="27"/>
      <c r="M37" s="27"/>
      <c r="N37" s="27"/>
      <c r="O37" s="27"/>
    </row>
    <row r="38" customFormat="false" ht="18" hidden="false" customHeight="true" outlineLevel="0" collapsed="false">
      <c r="B38" s="20" t="s">
        <v>82</v>
      </c>
      <c r="C38" s="21" t="s">
        <v>83</v>
      </c>
      <c r="D38" s="28" t="n">
        <f aca="false">'Forecast Demanda'!K12</f>
        <v>0</v>
      </c>
      <c r="E38" s="28" t="n">
        <f aca="false">'Forecast Demanda'!L12</f>
        <v>0</v>
      </c>
      <c r="F38" s="28" t="n">
        <f aca="false">'Forecast Demanda'!M12</f>
        <v>0</v>
      </c>
      <c r="G38" s="28" t="n">
        <f aca="false">'Forecast Demanda'!N12</f>
        <v>0</v>
      </c>
      <c r="H38" s="28" t="n">
        <f aca="false">'Forecast Demanda'!O12</f>
        <v>0</v>
      </c>
      <c r="I38" s="28" t="n">
        <f aca="false">'Forecast Demanda'!P12</f>
        <v>0</v>
      </c>
      <c r="J38" s="27"/>
      <c r="K38" s="27"/>
      <c r="L38" s="27"/>
      <c r="M38" s="27"/>
      <c r="N38" s="27"/>
      <c r="O38" s="27"/>
    </row>
    <row r="40" customFormat="false" ht="15" hidden="false" customHeight="false" outlineLevel="0" collapsed="false">
      <c r="B40" s="36" t="s">
        <v>130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</row>
  </sheetData>
  <mergeCells count="9">
    <mergeCell ref="B2:R2"/>
    <mergeCell ref="B3:R3"/>
    <mergeCell ref="B5:R5"/>
    <mergeCell ref="B14:R14"/>
    <mergeCell ref="B16:R16"/>
    <mergeCell ref="B25:R25"/>
    <mergeCell ref="B27:R27"/>
    <mergeCell ref="B31:R31"/>
    <mergeCell ref="B40:R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B2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60"/>
    <col collapsed="false" customWidth="true" hidden="false" outlineLevel="0" max="4" min="4" style="0" width="25"/>
  </cols>
  <sheetData>
    <row r="2" customFormat="false" ht="24" hidden="false" customHeight="true" outlineLevel="0" collapsed="false">
      <c r="B2" s="7" t="s">
        <v>131</v>
      </c>
      <c r="C2" s="7"/>
      <c r="D2" s="7"/>
    </row>
    <row r="4" customFormat="false" ht="19.5" hidden="false" customHeight="true" outlineLevel="0" collapsed="false">
      <c r="B4" s="4" t="s">
        <v>132</v>
      </c>
      <c r="C4" s="4"/>
      <c r="D4" s="4"/>
    </row>
    <row r="5" customFormat="false" ht="7.5" hidden="false" customHeight="true" outlineLevel="0" collapsed="false"/>
    <row r="6" customFormat="false" ht="39.75" hidden="false" customHeight="true" outlineLevel="0" collapsed="false">
      <c r="B6" s="37" t="s">
        <v>133</v>
      </c>
      <c r="C6" s="38" t="s">
        <v>134</v>
      </c>
    </row>
    <row r="7" customFormat="false" ht="79.5" hidden="false" customHeight="true" outlineLevel="0" collapsed="false">
      <c r="B7" s="39" t="s">
        <v>135</v>
      </c>
      <c r="C7" s="39"/>
      <c r="D7" s="39"/>
    </row>
    <row r="8" customFormat="false" ht="69.75" hidden="false" customHeight="true" outlineLevel="0" collapsed="false">
      <c r="B8" s="40"/>
      <c r="C8" s="40"/>
      <c r="D8" s="40"/>
    </row>
    <row r="9" customFormat="false" ht="39.75" hidden="false" customHeight="true" outlineLevel="0" collapsed="false">
      <c r="B9" s="37" t="s">
        <v>136</v>
      </c>
      <c r="C9" s="38" t="s">
        <v>137</v>
      </c>
    </row>
    <row r="10" customFormat="false" ht="60" hidden="false" customHeight="true" outlineLevel="0" collapsed="false">
      <c r="B10" s="39" t="s">
        <v>135</v>
      </c>
      <c r="C10" s="39"/>
      <c r="D10" s="39"/>
    </row>
    <row r="11" customFormat="false" ht="49.5" hidden="false" customHeight="true" outlineLevel="0" collapsed="false">
      <c r="B11" s="40"/>
      <c r="C11" s="40"/>
      <c r="D11" s="40"/>
    </row>
    <row r="12" customFormat="false" ht="39.75" hidden="false" customHeight="true" outlineLevel="0" collapsed="false">
      <c r="B12" s="37" t="s">
        <v>138</v>
      </c>
      <c r="C12" s="38" t="s">
        <v>139</v>
      </c>
    </row>
    <row r="13" customFormat="false" ht="60" hidden="false" customHeight="true" outlineLevel="0" collapsed="false">
      <c r="B13" s="39" t="s">
        <v>135</v>
      </c>
      <c r="C13" s="39"/>
      <c r="D13" s="39"/>
    </row>
    <row r="14" customFormat="false" ht="49.5" hidden="false" customHeight="true" outlineLevel="0" collapsed="false">
      <c r="B14" s="40"/>
      <c r="C14" s="40"/>
      <c r="D14" s="40"/>
    </row>
    <row r="15" customFormat="false" ht="7.5" hidden="false" customHeight="true" outlineLevel="0" collapsed="false"/>
    <row r="16" customFormat="false" ht="19.5" hidden="false" customHeight="true" outlineLevel="0" collapsed="false">
      <c r="B16" s="4" t="s">
        <v>140</v>
      </c>
      <c r="C16" s="4"/>
      <c r="D16" s="4"/>
    </row>
    <row r="17" customFormat="false" ht="7.5" hidden="false" customHeight="true" outlineLevel="0" collapsed="false"/>
    <row r="18" customFormat="false" ht="39.75" hidden="false" customHeight="true" outlineLevel="0" collapsed="false">
      <c r="B18" s="37" t="s">
        <v>141</v>
      </c>
      <c r="C18" s="38" t="s">
        <v>142</v>
      </c>
    </row>
    <row r="19" customFormat="false" ht="49.5" hidden="false" customHeight="true" outlineLevel="0" collapsed="false">
      <c r="B19" s="39" t="s">
        <v>135</v>
      </c>
      <c r="C19" s="39"/>
      <c r="D19" s="39"/>
    </row>
    <row r="20" customFormat="false" ht="39.75" hidden="false" customHeight="true" outlineLevel="0" collapsed="false">
      <c r="B20" s="40"/>
      <c r="C20" s="40"/>
      <c r="D20" s="40"/>
    </row>
    <row r="21" customFormat="false" ht="39.75" hidden="false" customHeight="true" outlineLevel="0" collapsed="false">
      <c r="B21" s="37" t="s">
        <v>143</v>
      </c>
      <c r="C21" s="38" t="s">
        <v>144</v>
      </c>
    </row>
    <row r="22" customFormat="false" ht="49.5" hidden="false" customHeight="true" outlineLevel="0" collapsed="false">
      <c r="B22" s="39" t="s">
        <v>135</v>
      </c>
      <c r="C22" s="39"/>
      <c r="D22" s="39"/>
    </row>
    <row r="23" customFormat="false" ht="39.75" hidden="false" customHeight="true" outlineLevel="0" collapsed="false">
      <c r="B23" s="40"/>
      <c r="C23" s="40"/>
      <c r="D23" s="40"/>
    </row>
    <row r="24" customFormat="false" ht="39.75" hidden="false" customHeight="true" outlineLevel="0" collapsed="false">
      <c r="B24" s="37" t="s">
        <v>145</v>
      </c>
      <c r="C24" s="38" t="s">
        <v>146</v>
      </c>
    </row>
    <row r="25" customFormat="false" ht="60" hidden="false" customHeight="true" outlineLevel="0" collapsed="false">
      <c r="B25" s="39" t="s">
        <v>135</v>
      </c>
      <c r="C25" s="39"/>
      <c r="D25" s="39"/>
    </row>
    <row r="26" customFormat="false" ht="49.5" hidden="false" customHeight="true" outlineLevel="0" collapsed="false">
      <c r="B26" s="40"/>
      <c r="C26" s="40"/>
      <c r="D26" s="40"/>
    </row>
    <row r="27" customFormat="false" ht="39.75" hidden="false" customHeight="true" outlineLevel="0" collapsed="false">
      <c r="B27" s="37" t="s">
        <v>147</v>
      </c>
      <c r="C27" s="38" t="s">
        <v>148</v>
      </c>
    </row>
    <row r="28" customFormat="false" ht="49.5" hidden="false" customHeight="true" outlineLevel="0" collapsed="false">
      <c r="B28" s="39" t="s">
        <v>135</v>
      </c>
      <c r="C28" s="39"/>
      <c r="D28" s="39"/>
    </row>
    <row r="29" customFormat="false" ht="39.75" hidden="false" customHeight="true" outlineLevel="0" collapsed="false">
      <c r="B29" s="40"/>
      <c r="C29" s="40"/>
      <c r="D29" s="40"/>
    </row>
    <row r="30" customFormat="false" ht="39.75" hidden="false" customHeight="true" outlineLevel="0" collapsed="false">
      <c r="B30" s="37" t="s">
        <v>149</v>
      </c>
      <c r="C30" s="38" t="s">
        <v>150</v>
      </c>
    </row>
    <row r="31" customFormat="false" ht="49.5" hidden="false" customHeight="true" outlineLevel="0" collapsed="false">
      <c r="B31" s="39" t="s">
        <v>135</v>
      </c>
      <c r="C31" s="39"/>
      <c r="D31" s="39"/>
    </row>
    <row r="32" customFormat="false" ht="39.75" hidden="false" customHeight="true" outlineLevel="0" collapsed="false">
      <c r="B32" s="40"/>
      <c r="C32" s="40"/>
      <c r="D32" s="40"/>
    </row>
    <row r="34" customFormat="false" ht="15" hidden="false" customHeight="true" outlineLevel="0" collapsed="false">
      <c r="B34" s="41" t="s">
        <v>151</v>
      </c>
      <c r="C34" s="41"/>
      <c r="D34" s="41"/>
    </row>
    <row r="35" customFormat="false" ht="54.75" hidden="false" customHeight="true" outlineLevel="0" collapsed="false">
      <c r="B35" s="42" t="s">
        <v>152</v>
      </c>
      <c r="C35" s="42"/>
      <c r="D35" s="42"/>
    </row>
  </sheetData>
  <mergeCells count="21">
    <mergeCell ref="B2:D2"/>
    <mergeCell ref="B4:D4"/>
    <mergeCell ref="B7:D7"/>
    <mergeCell ref="B8:D8"/>
    <mergeCell ref="B10:D10"/>
    <mergeCell ref="B11:D11"/>
    <mergeCell ref="B13:D13"/>
    <mergeCell ref="B14:D14"/>
    <mergeCell ref="B16:D16"/>
    <mergeCell ref="B19:D19"/>
    <mergeCell ref="B20:D20"/>
    <mergeCell ref="B22:D22"/>
    <mergeCell ref="B23:D23"/>
    <mergeCell ref="B25:D25"/>
    <mergeCell ref="B26:D26"/>
    <mergeCell ref="B28:D28"/>
    <mergeCell ref="B29:D29"/>
    <mergeCell ref="B31:D31"/>
    <mergeCell ref="B32:D32"/>
    <mergeCell ref="B34:D34"/>
    <mergeCell ref="B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2026-08-11T22:15:18Z</dcterms:created>
  <dc:creator>openpyxl</dc:creator>
  <dc:description/>
  <dc:language>en-US</dc:language>
  <cp:lastModifiedBy/>
  <dcterms:modified xsi:type="dcterms:W3CDTF">2026-08-11T22:15:19Z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